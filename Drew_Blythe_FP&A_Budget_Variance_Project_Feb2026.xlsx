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College\Finance Projects\"/>
    </mc:Choice>
  </mc:AlternateContent>
  <xr:revisionPtr revIDLastSave="0" documentId="13_ncr:1_{85BCC1A9-4E97-472C-B845-47CD1970DEB4}" xr6:coauthVersionLast="47" xr6:coauthVersionMax="47" xr10:uidLastSave="{00000000-0000-0000-0000-000000000000}"/>
  <bookViews>
    <workbookView xWindow="20330" yWindow="3670" windowWidth="16970" windowHeight="15370" xr2:uid="{6A2E7477-4EC9-491B-8427-214032E6E013}"/>
  </bookViews>
  <sheets>
    <sheet name="Budget vs Actual" sheetId="1" r:id="rId1"/>
    <sheet name="Pivot Table" sheetId="6" r:id="rId2"/>
    <sheet name="Income Chart" sheetId="3" r:id="rId3"/>
    <sheet name="Expense Chart" sheetId="4" r:id="rId4"/>
    <sheet name="Insights and Recommendations" sheetId="2" r:id="rId5"/>
  </sheets>
  <definedNames>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 l="1"/>
  <c r="E26" i="1"/>
  <c r="H25" i="1"/>
  <c r="G25" i="1"/>
  <c r="H24" i="1"/>
  <c r="G24" i="1"/>
  <c r="H23" i="1"/>
  <c r="G23" i="1"/>
  <c r="H22" i="1"/>
  <c r="G22" i="1"/>
  <c r="H21" i="1"/>
  <c r="G21" i="1"/>
  <c r="H20" i="1"/>
  <c r="G20" i="1"/>
  <c r="H19" i="1"/>
  <c r="G19" i="1"/>
  <c r="H18" i="1"/>
  <c r="G18" i="1"/>
  <c r="H17" i="1"/>
  <c r="G17" i="1"/>
  <c r="H16" i="1"/>
  <c r="G16" i="1"/>
  <c r="H15" i="1"/>
  <c r="H26" i="1" s="1"/>
  <c r="G15" i="1"/>
  <c r="G26" i="1" s="1"/>
  <c r="H12" i="1"/>
  <c r="F12" i="1"/>
  <c r="E12" i="1"/>
  <c r="H11" i="1"/>
  <c r="G11" i="1"/>
  <c r="H10" i="1"/>
  <c r="G10" i="1"/>
  <c r="H9" i="1"/>
  <c r="G9" i="1"/>
  <c r="H8" i="1"/>
  <c r="G8" i="1"/>
  <c r="H7" i="1"/>
  <c r="G7" i="1"/>
  <c r="G12" i="1" s="1"/>
</calcChain>
</file>

<file path=xl/sharedStrings.xml><?xml version="1.0" encoding="utf-8"?>
<sst xmlns="http://schemas.openxmlformats.org/spreadsheetml/2006/main" count="47" uniqueCount="39">
  <si>
    <t>Category</t>
  </si>
  <si>
    <t>Subcategory</t>
  </si>
  <si>
    <t>YTD Actual ($)</t>
  </si>
  <si>
    <t>YTD Budget ($)</t>
  </si>
  <si>
    <t>Variance ($)</t>
  </si>
  <si>
    <t>Variance (%)</t>
  </si>
  <si>
    <t>Row Labels</t>
  </si>
  <si>
    <t>Sum of Variance (%)</t>
  </si>
  <si>
    <t>Sum of Variance ($)</t>
  </si>
  <si>
    <t>INCOME</t>
  </si>
  <si>
    <t>Finance</t>
  </si>
  <si>
    <t>Revenue</t>
  </si>
  <si>
    <t>Product Sales</t>
  </si>
  <si>
    <t>Miscellaneous</t>
  </si>
  <si>
    <t>Service Revenue</t>
  </si>
  <si>
    <t>Office</t>
  </si>
  <si>
    <t>Recurring Income</t>
  </si>
  <si>
    <t>Operations</t>
  </si>
  <si>
    <t>Other Income</t>
  </si>
  <si>
    <t>Interest Income</t>
  </si>
  <si>
    <t>Grants</t>
  </si>
  <si>
    <t>Personnel</t>
  </si>
  <si>
    <t>Total Income</t>
  </si>
  <si>
    <t>Technology</t>
  </si>
  <si>
    <t>EXPENSES</t>
  </si>
  <si>
    <t>Salaries</t>
  </si>
  <si>
    <t>Bonuses</t>
  </si>
  <si>
    <t>Rent</t>
  </si>
  <si>
    <t>Utilities</t>
  </si>
  <si>
    <t>Software Licenses</t>
  </si>
  <si>
    <t>IT Support</t>
  </si>
  <si>
    <t>Travel</t>
  </si>
  <si>
    <t>Training</t>
  </si>
  <si>
    <t>Depreciation</t>
  </si>
  <si>
    <t>Bank Charges</t>
  </si>
  <si>
    <t>Other Expenses</t>
  </si>
  <si>
    <t>Total Expenses</t>
  </si>
  <si>
    <t>Drew Blythe| ASU BA Financial Planning, Dec 2023 | February 2026</t>
  </si>
  <si>
    <t>YTD Budget vs Actual Variance Analysis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</si>
</sst>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 #,##0.00"/>
  </numFmts>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Calibri"/>
      <family val="2"/>
    </font>
    <font>
      <sz val="11"/>
      <color rgb="FF0070C0"/>
      <name val="Aptos Narrow"/>
      <family val="2"/>
      <scheme val="minor"/>
    </font>
    <font>
      <b/>
      <sz val="12"/>
      <name val="Calibri"/>
      <family val="2"/>
    </font>
    <font>
      <b/>
      <sz val="22"/>
      <color theme="1"/>
      <name val="Aptos Narrow"/>
      <family val="2"/>
      <scheme val="minor"/>
    </font>
    <font>
      <b/>
      <sz val="20"/>
      <color theme="1"/>
      <name val="Aptos Narrow"/>
      <family val="2"/>
      <scheme val="minor"/>
    </font>
  </fonts>
  <fills count="3">
    <fill>
      <patternFill patternType="none"/>
    </fill>
    <fill>
      <patternFill patternType="gray125"/>
    </fill>
    <fill>
      <patternFill patternType="solid">
        <fgColor rgb="FF4472C4"/>
        <bgColor rgb="FF4472C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4" fillId="0" borderId="4" xfId="0" applyFont="1" applyBorder="1"/>
    <xf numFmtId="0" fontId="0" fillId="0" borderId="5" xfId="0" applyBorder="1"/>
    <xf numFmtId="0" fontId="0" fillId="0" borderId="6" xfId="0" applyBorder="1"/>
    <xf numFmtId="0" fontId="0" fillId="0" borderId="0" xfId="0" applyAlignment="1">
      <alignment horizontal="left"/>
    </xf>
    <xf numFmtId="164" fontId="0" fillId="0" borderId="8" xfId="0" applyNumberFormat="1" applyBorder="1" applyAlignment="1">
      <alignment horizontal="right"/>
    </xf>
    <xf numFmtId="10" fontId="0" fillId="0" borderId="5" xfId="0" applyNumberFormat="1" applyBorder="1" applyAlignment="1">
      <alignment horizontal="center"/>
    </xf>
    <xf numFmtId="0" fontId="0" fillId="0" borderId="4" xfId="0" applyBorder="1"/>
    <xf numFmtId="0" fontId="2" fillId="0" borderId="5" xfId="0" applyFont="1" applyBorder="1"/>
    <xf numFmtId="164" fontId="5" fillId="0" borderId="5" xfId="0" applyNumberFormat="1" applyFont="1" applyBorder="1" applyAlignment="1">
      <alignment horizontal="right"/>
    </xf>
    <xf numFmtId="164" fontId="5" fillId="0" borderId="8" xfId="0" applyNumberFormat="1" applyFont="1" applyBorder="1" applyAlignment="1">
      <alignment horizontal="right"/>
    </xf>
    <xf numFmtId="10" fontId="5" fillId="0" borderId="5" xfId="0" applyNumberFormat="1" applyFont="1" applyBorder="1" applyAlignment="1">
      <alignment horizontal="center"/>
    </xf>
    <xf numFmtId="165" fontId="0" fillId="0" borderId="8" xfId="0" applyNumberFormat="1" applyBorder="1" applyAlignment="1">
      <alignment horizontal="right"/>
    </xf>
    <xf numFmtId="165" fontId="0" fillId="0" borderId="5" xfId="0" applyNumberFormat="1" applyBorder="1" applyAlignment="1">
      <alignment horizontal="center"/>
    </xf>
    <xf numFmtId="0" fontId="1" fillId="0" borderId="4" xfId="0" applyFont="1" applyBorder="1"/>
    <xf numFmtId="0" fontId="0" fillId="0" borderId="3" xfId="0" applyBorder="1"/>
    <xf numFmtId="164" fontId="5" fillId="0" borderId="7" xfId="0" applyNumberFormat="1" applyFont="1" applyBorder="1" applyAlignment="1">
      <alignment horizontal="right"/>
    </xf>
    <xf numFmtId="10" fontId="5" fillId="0" borderId="7" xfId="0" applyNumberFormat="1" applyFont="1" applyBorder="1" applyAlignment="1">
      <alignment horizontal="center"/>
    </xf>
    <xf numFmtId="0" fontId="0" fillId="0" borderId="2" xfId="0" applyBorder="1"/>
    <xf numFmtId="0" fontId="0" fillId="0" borderId="0" xfId="0" pivotButton="1"/>
    <xf numFmtId="0" fontId="7" fillId="0" borderId="0" xfId="0" applyFont="1"/>
    <xf numFmtId="0" fontId="6" fillId="0" borderId="0" xfId="0" applyFont="1"/>
    <xf numFmtId="0" fontId="0" fillId="0" borderId="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Variance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 vs Actual'!$E$5</c:f>
              <c:strCache>
                <c:ptCount val="1"/>
                <c:pt idx="0">
                  <c:v>YTD Actual ($)</c:v>
                </c:pt>
              </c:strCache>
            </c:strRef>
          </c:tx>
          <c:spPr>
            <a:solidFill>
              <a:schemeClr val="accent1"/>
            </a:solidFill>
            <a:ln>
              <a:noFill/>
            </a:ln>
            <a:effectLst/>
          </c:spPr>
          <c:invertIfNegative val="0"/>
          <c:cat>
            <c:multiLvlStrRef>
              <c:extLst>
                <c:ext xmlns:c15="http://schemas.microsoft.com/office/drawing/2012/chart" uri="{02D57815-91ED-43cb-92C2-25804820EDAC}">
                  <c15:fullRef>
                    <c15:sqref>'Budget vs Actual'!$C$6:$D$26</c15:sqref>
                  </c15:fullRef>
                </c:ext>
              </c:extLst>
              <c:f>'Budget vs Actual'!$C$7:$D$12</c:f>
              <c:multiLvlStrCache>
                <c:ptCount val="6"/>
                <c:lvl>
                  <c:pt idx="0">
                    <c:v>Product Sales</c:v>
                  </c:pt>
                  <c:pt idx="1">
                    <c:v>Service Revenue</c:v>
                  </c:pt>
                  <c:pt idx="2">
                    <c:v>Recurring Income</c:v>
                  </c:pt>
                  <c:pt idx="3">
                    <c:v>Interest Income</c:v>
                  </c:pt>
                  <c:pt idx="4">
                    <c:v>Grants</c:v>
                  </c:pt>
                  <c:pt idx="5">
                    <c:v>Total Income</c:v>
                  </c:pt>
                </c:lvl>
                <c:lvl>
                  <c:pt idx="0">
                    <c:v>Revenue</c:v>
                  </c:pt>
                  <c:pt idx="3">
                    <c:v>Other Income</c:v>
                  </c:pt>
                </c:lvl>
              </c:multiLvlStrCache>
            </c:multiLvlStrRef>
          </c:cat>
          <c:val>
            <c:numRef>
              <c:extLst>
                <c:ext xmlns:c15="http://schemas.microsoft.com/office/drawing/2012/chart" uri="{02D57815-91ED-43cb-92C2-25804820EDAC}">
                  <c15:fullRef>
                    <c15:sqref>'Budget vs Actual'!$E$6:$E$26</c15:sqref>
                  </c15:fullRef>
                </c:ext>
              </c:extLst>
              <c:f>'Budget vs Actual'!$E$7:$E$12</c:f>
              <c:numCache>
                <c:formatCode>General</c:formatCode>
                <c:ptCount val="6"/>
                <c:pt idx="0">
                  <c:v>120000</c:v>
                </c:pt>
                <c:pt idx="1">
                  <c:v>80000</c:v>
                </c:pt>
                <c:pt idx="2">
                  <c:v>45000</c:v>
                </c:pt>
                <c:pt idx="3">
                  <c:v>5000</c:v>
                </c:pt>
                <c:pt idx="4">
                  <c:v>10000</c:v>
                </c:pt>
                <c:pt idx="5" formatCode="[$$-409]#,##0.00">
                  <c:v>260000</c:v>
                </c:pt>
              </c:numCache>
            </c:numRef>
          </c:val>
          <c:extLst>
            <c:ext xmlns:c16="http://schemas.microsoft.com/office/drawing/2014/chart" uri="{C3380CC4-5D6E-409C-BE32-E72D297353CC}">
              <c16:uniqueId val="{00000000-93CC-451D-BD1C-B4EECD533475}"/>
            </c:ext>
          </c:extLst>
        </c:ser>
        <c:ser>
          <c:idx val="1"/>
          <c:order val="1"/>
          <c:tx>
            <c:strRef>
              <c:f>'Budget vs Actual'!$F$5</c:f>
              <c:strCache>
                <c:ptCount val="1"/>
                <c:pt idx="0">
                  <c:v>YTD Budget ($)</c:v>
                </c:pt>
              </c:strCache>
            </c:strRef>
          </c:tx>
          <c:spPr>
            <a:solidFill>
              <a:schemeClr val="accent2"/>
            </a:solidFill>
            <a:ln>
              <a:noFill/>
            </a:ln>
            <a:effectLst/>
          </c:spPr>
          <c:invertIfNegative val="0"/>
          <c:cat>
            <c:multiLvlStrRef>
              <c:extLst>
                <c:ext xmlns:c15="http://schemas.microsoft.com/office/drawing/2012/chart" uri="{02D57815-91ED-43cb-92C2-25804820EDAC}">
                  <c15:fullRef>
                    <c15:sqref>'Budget vs Actual'!$C$6:$D$26</c15:sqref>
                  </c15:fullRef>
                </c:ext>
              </c:extLst>
              <c:f>'Budget vs Actual'!$C$7:$D$12</c:f>
              <c:multiLvlStrCache>
                <c:ptCount val="6"/>
                <c:lvl>
                  <c:pt idx="0">
                    <c:v>Product Sales</c:v>
                  </c:pt>
                  <c:pt idx="1">
                    <c:v>Service Revenue</c:v>
                  </c:pt>
                  <c:pt idx="2">
                    <c:v>Recurring Income</c:v>
                  </c:pt>
                  <c:pt idx="3">
                    <c:v>Interest Income</c:v>
                  </c:pt>
                  <c:pt idx="4">
                    <c:v>Grants</c:v>
                  </c:pt>
                  <c:pt idx="5">
                    <c:v>Total Income</c:v>
                  </c:pt>
                </c:lvl>
                <c:lvl>
                  <c:pt idx="0">
                    <c:v>Revenue</c:v>
                  </c:pt>
                  <c:pt idx="3">
                    <c:v>Other Income</c:v>
                  </c:pt>
                </c:lvl>
              </c:multiLvlStrCache>
            </c:multiLvlStrRef>
          </c:cat>
          <c:val>
            <c:numRef>
              <c:extLst>
                <c:ext xmlns:c15="http://schemas.microsoft.com/office/drawing/2012/chart" uri="{02D57815-91ED-43cb-92C2-25804820EDAC}">
                  <c15:fullRef>
                    <c15:sqref>'Budget vs Actual'!$F$6:$F$26</c15:sqref>
                  </c15:fullRef>
                </c:ext>
              </c:extLst>
              <c:f>'Budget vs Actual'!$F$7:$F$12</c:f>
              <c:numCache>
                <c:formatCode>General</c:formatCode>
                <c:ptCount val="6"/>
                <c:pt idx="0">
                  <c:v>100000</c:v>
                </c:pt>
                <c:pt idx="1">
                  <c:v>75000</c:v>
                </c:pt>
                <c:pt idx="2">
                  <c:v>50000</c:v>
                </c:pt>
                <c:pt idx="3">
                  <c:v>4000</c:v>
                </c:pt>
                <c:pt idx="4">
                  <c:v>15000</c:v>
                </c:pt>
                <c:pt idx="5" formatCode="[$$-409]#,##0.00">
                  <c:v>244000</c:v>
                </c:pt>
              </c:numCache>
            </c:numRef>
          </c:val>
          <c:extLst>
            <c:ext xmlns:c16="http://schemas.microsoft.com/office/drawing/2014/chart" uri="{C3380CC4-5D6E-409C-BE32-E72D297353CC}">
              <c16:uniqueId val="{00000001-93CC-451D-BD1C-B4EECD533475}"/>
            </c:ext>
          </c:extLst>
        </c:ser>
        <c:dLbls>
          <c:showLegendKey val="0"/>
          <c:showVal val="0"/>
          <c:showCatName val="0"/>
          <c:showSerName val="0"/>
          <c:showPercent val="0"/>
          <c:showBubbleSize val="0"/>
        </c:dLbls>
        <c:gapWidth val="219"/>
        <c:overlap val="-27"/>
        <c:axId val="1121034079"/>
        <c:axId val="1121051359"/>
        <c:extLst>
          <c:ext xmlns:c15="http://schemas.microsoft.com/office/drawing/2012/chart" uri="{02D57815-91ED-43cb-92C2-25804820EDAC}">
            <c15:filteredBarSeries>
              <c15:ser>
                <c:idx val="2"/>
                <c:order val="2"/>
                <c:tx>
                  <c:strRef>
                    <c:extLst>
                      <c:ext uri="{02D57815-91ED-43cb-92C2-25804820EDAC}">
                        <c15:formulaRef>
                          <c15:sqref>'Budget vs Actual'!$G$5</c15:sqref>
                        </c15:formulaRef>
                      </c:ext>
                    </c:extLst>
                    <c:strCache>
                      <c:ptCount val="1"/>
                      <c:pt idx="0">
                        <c:v>Variance ($)</c:v>
                      </c:pt>
                    </c:strCache>
                  </c:strRef>
                </c:tx>
                <c:spPr>
                  <a:solidFill>
                    <a:schemeClr val="accent3"/>
                  </a:solidFill>
                  <a:ln>
                    <a:noFill/>
                  </a:ln>
                  <a:effectLst/>
                </c:spPr>
                <c:invertIfNegative val="0"/>
                <c:cat>
                  <c:multiLvlStrRef>
                    <c:extLst>
                      <c:ext uri="{02D57815-91ED-43cb-92C2-25804820EDAC}">
                        <c15:fullRef>
                          <c15:sqref>'Budget vs Actual'!$C$6:$D$26</c15:sqref>
                        </c15:fullRef>
                        <c15:formulaRef>
                          <c15:sqref>'Budget vs Actual'!$C$7:$D$12</c15:sqref>
                        </c15:formulaRef>
                      </c:ext>
                    </c:extLst>
                    <c:multiLvlStrCache>
                      <c:ptCount val="6"/>
                      <c:lvl>
                        <c:pt idx="0">
                          <c:v>Product Sales</c:v>
                        </c:pt>
                        <c:pt idx="1">
                          <c:v>Service Revenue</c:v>
                        </c:pt>
                        <c:pt idx="2">
                          <c:v>Recurring Income</c:v>
                        </c:pt>
                        <c:pt idx="3">
                          <c:v>Interest Income</c:v>
                        </c:pt>
                        <c:pt idx="4">
                          <c:v>Grants</c:v>
                        </c:pt>
                        <c:pt idx="5">
                          <c:v>Total Income</c:v>
                        </c:pt>
                      </c:lvl>
                      <c:lvl>
                        <c:pt idx="0">
                          <c:v>Revenue</c:v>
                        </c:pt>
                        <c:pt idx="3">
                          <c:v>Other Income</c:v>
                        </c:pt>
                      </c:lvl>
                    </c:multiLvlStrCache>
                  </c:multiLvlStrRef>
                </c:cat>
                <c:val>
                  <c:numRef>
                    <c:extLst>
                      <c:ext uri="{02D57815-91ED-43cb-92C2-25804820EDAC}">
                        <c15:fullRef>
                          <c15:sqref>'Budget vs Actual'!$G$6:$G$26</c15:sqref>
                        </c15:fullRef>
                        <c15:formulaRef>
                          <c15:sqref>'Budget vs Actual'!$G$7:$G$12</c15:sqref>
                        </c15:formulaRef>
                      </c:ext>
                    </c:extLst>
                    <c:numCache>
                      <c:formatCode>[$$-409]#,##0.00</c:formatCode>
                      <c:ptCount val="6"/>
                      <c:pt idx="0">
                        <c:v>20000</c:v>
                      </c:pt>
                      <c:pt idx="1">
                        <c:v>5000</c:v>
                      </c:pt>
                      <c:pt idx="2">
                        <c:v>-5000</c:v>
                      </c:pt>
                      <c:pt idx="3">
                        <c:v>1000</c:v>
                      </c:pt>
                      <c:pt idx="4">
                        <c:v>-5000</c:v>
                      </c:pt>
                      <c:pt idx="5">
                        <c:v>16000</c:v>
                      </c:pt>
                    </c:numCache>
                  </c:numRef>
                </c:val>
                <c:extLst>
                  <c:ext xmlns:c16="http://schemas.microsoft.com/office/drawing/2014/chart" uri="{C3380CC4-5D6E-409C-BE32-E72D297353CC}">
                    <c16:uniqueId val="{00000002-93CC-451D-BD1C-B4EECD5334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'Budget vs Actual'!$H$5</c15:sqref>
                        </c15:formulaRef>
                      </c:ext>
                    </c:extLst>
                    <c:strCache>
                      <c:ptCount val="1"/>
                      <c:pt idx="0">
                        <c:v>Variance (%)</c:v>
                      </c:pt>
                    </c:strCache>
                  </c:strRef>
                </c:tx>
                <c:spPr>
                  <a:solidFill>
                    <a:schemeClr val="accent4"/>
                  </a:solidFill>
                  <a:ln>
                    <a:noFill/>
                  </a:ln>
                  <a:effectLst/>
                </c:spPr>
                <c:invertIfNegative val="0"/>
                <c:cat>
                  <c:multiLvlStrRef>
                    <c:extLst>
                      <c:ext xmlns:c15="http://schemas.microsoft.com/office/drawing/2012/chart" uri="{02D57815-91ED-43cb-92C2-25804820EDAC}">
                        <c15:fullRef>
                          <c15:sqref>'Budget vs Actual'!$C$6:$D$26</c15:sqref>
                        </c15:fullRef>
                        <c15:formulaRef>
                          <c15:sqref>'Budget vs Actual'!$C$7:$D$12</c15:sqref>
                        </c15:formulaRef>
                      </c:ext>
                    </c:extLst>
                    <c:multiLvlStrCache>
                      <c:ptCount val="6"/>
                      <c:lvl>
                        <c:pt idx="0">
                          <c:v>Product Sales</c:v>
                        </c:pt>
                        <c:pt idx="1">
                          <c:v>Service Revenue</c:v>
                        </c:pt>
                        <c:pt idx="2">
                          <c:v>Recurring Income</c:v>
                        </c:pt>
                        <c:pt idx="3">
                          <c:v>Interest Income</c:v>
                        </c:pt>
                        <c:pt idx="4">
                          <c:v>Grants</c:v>
                        </c:pt>
                        <c:pt idx="5">
                          <c:v>Total Income</c:v>
                        </c:pt>
                      </c:lvl>
                      <c:lvl>
                        <c:pt idx="0">
                          <c:v>Revenue</c:v>
                        </c:pt>
                        <c:pt idx="3">
                          <c:v>Other Income</c:v>
                        </c:pt>
                      </c:lvl>
                    </c:multiLvlStrCache>
                  </c:multiLvlStrRef>
                </c:cat>
                <c:val>
                  <c:numRef>
                    <c:extLst>
                      <c:ext xmlns:c15="http://schemas.microsoft.com/office/drawing/2012/chart" uri="{02D57815-91ED-43cb-92C2-25804820EDAC}">
                        <c15:fullRef>
                          <c15:sqref>'Budget vs Actual'!$H$6:$H$26</c15:sqref>
                        </c15:fullRef>
                        <c15:formulaRef>
                          <c15:sqref>'Budget vs Actual'!$H$7:$H$12</c15:sqref>
                        </c15:formulaRef>
                      </c:ext>
                    </c:extLst>
                    <c:numCache>
                      <c:formatCode>0.00%</c:formatCode>
                      <c:ptCount val="6"/>
                      <c:pt idx="0">
                        <c:v>0.16666666666666666</c:v>
                      </c:pt>
                      <c:pt idx="1">
                        <c:v>6.25E-2</c:v>
                      </c:pt>
                      <c:pt idx="2">
                        <c:v>-0.1111111111111111</c:v>
                      </c:pt>
                      <c:pt idx="3">
                        <c:v>0.2</c:v>
                      </c:pt>
                      <c:pt idx="4">
                        <c:v>-0.5</c:v>
                      </c:pt>
                      <c:pt idx="5">
                        <c:v>6.1538461538461542E-2</c:v>
                      </c:pt>
                    </c:numCache>
                  </c:numRef>
                </c:val>
                <c:extLst xmlns:c15="http://schemas.microsoft.com/office/drawing/2012/chart">
                  <c:ext xmlns:c16="http://schemas.microsoft.com/office/drawing/2014/chart" uri="{C3380CC4-5D6E-409C-BE32-E72D297353CC}">
                    <c16:uniqueId val="{00000003-93CC-451D-BD1C-B4EECD533475}"/>
                  </c:ext>
                </c:extLst>
              </c15:ser>
            </c15:filteredBarSeries>
          </c:ext>
        </c:extLst>
      </c:barChart>
      <c:catAx>
        <c:axId val="11210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51359"/>
        <c:crosses val="autoZero"/>
        <c:auto val="1"/>
        <c:lblAlgn val="ctr"/>
        <c:lblOffset val="100"/>
        <c:noMultiLvlLbl val="0"/>
      </c:catAx>
      <c:valAx>
        <c:axId val="112105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34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Expense Variance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'Budget vs Actual'!$E$5</c:f>
              <c:strCache>
                <c:ptCount val="1"/>
                <c:pt idx="0">
                  <c:v>YTD Actual ($)</c:v>
                </c:pt>
              </c:strCache>
            </c:strRef>
          </c:tx>
          <c:spPr>
            <a:solidFill>
              <a:schemeClr val="accent1"/>
            </a:solidFill>
            <a:ln>
              <a:noFill/>
            </a:ln>
            <a:effectLst/>
          </c:spPr>
          <c:invertIfNegative val="0"/>
          <c:cat>
            <c:multiLvlStrRef>
              <c:extLst>
                <c:ext xmlns:c15="http://schemas.microsoft.com/office/drawing/2012/chart" uri="{02D57815-91ED-43cb-92C2-25804820EDAC}">
                  <c15:fullRef>
                    <c15:sqref>'Budget vs Actual'!$C$6:$D$26</c15:sqref>
                  </c15:fullRef>
                </c:ext>
              </c:extLst>
              <c:f>'Budget vs Actual'!$C$15:$D$26</c:f>
              <c:multiLvlStrCache>
                <c:ptCount val="12"/>
                <c:lvl>
                  <c:pt idx="0">
                    <c:v>Salaries</c:v>
                  </c:pt>
                  <c:pt idx="1">
                    <c:v>Bonuses</c:v>
                  </c:pt>
                  <c:pt idx="2">
                    <c:v>Rent</c:v>
                  </c:pt>
                  <c:pt idx="3">
                    <c:v>Utilities</c:v>
                  </c:pt>
                  <c:pt idx="4">
                    <c:v>Software Licenses</c:v>
                  </c:pt>
                  <c:pt idx="5">
                    <c:v>IT Support</c:v>
                  </c:pt>
                  <c:pt idx="6">
                    <c:v>Travel</c:v>
                  </c:pt>
                  <c:pt idx="7">
                    <c:v>Training</c:v>
                  </c:pt>
                  <c:pt idx="8">
                    <c:v>Depreciation</c:v>
                  </c:pt>
                  <c:pt idx="9">
                    <c:v>Bank Charges</c:v>
                  </c:pt>
                  <c:pt idx="10">
                    <c:v>Other Expenses</c:v>
                  </c:pt>
                  <c:pt idx="11">
                    <c:v>Total Expenses</c:v>
                  </c:pt>
                </c:lvl>
                <c:lvl>
                  <c:pt idx="0">
                    <c:v>Personnel</c:v>
                  </c:pt>
                  <c:pt idx="2">
                    <c:v>Office</c:v>
                  </c:pt>
                  <c:pt idx="4">
                    <c:v>Technology</c:v>
                  </c:pt>
                  <c:pt idx="6">
                    <c:v>Operations</c:v>
                  </c:pt>
                  <c:pt idx="8">
                    <c:v>Finance</c:v>
                  </c:pt>
                  <c:pt idx="10">
                    <c:v>Miscellaneous</c:v>
                  </c:pt>
                </c:lvl>
              </c:multiLvlStrCache>
            </c:multiLvlStrRef>
          </c:cat>
          <c:val>
            <c:numRef>
              <c:extLst>
                <c:ext xmlns:c15="http://schemas.microsoft.com/office/drawing/2012/chart" uri="{02D57815-91ED-43cb-92C2-25804820EDAC}">
                  <c15:fullRef>
                    <c15:sqref>'Budget vs Actual'!$E$6:$E$26</c15:sqref>
                  </c15:fullRef>
                </c:ext>
              </c:extLst>
              <c:f>'Budget vs Actual'!$E$15:$E$26</c:f>
              <c:numCache>
                <c:formatCode>General</c:formatCode>
                <c:ptCount val="12"/>
                <c:pt idx="0">
                  <c:v>70000</c:v>
                </c:pt>
                <c:pt idx="1">
                  <c:v>10000</c:v>
                </c:pt>
                <c:pt idx="2">
                  <c:v>15000</c:v>
                </c:pt>
                <c:pt idx="3">
                  <c:v>4000</c:v>
                </c:pt>
                <c:pt idx="4">
                  <c:v>6000</c:v>
                </c:pt>
                <c:pt idx="5">
                  <c:v>5000</c:v>
                </c:pt>
                <c:pt idx="6">
                  <c:v>8000</c:v>
                </c:pt>
                <c:pt idx="7">
                  <c:v>3000</c:v>
                </c:pt>
                <c:pt idx="8">
                  <c:v>7000</c:v>
                </c:pt>
                <c:pt idx="9">
                  <c:v>2000</c:v>
                </c:pt>
                <c:pt idx="10">
                  <c:v>1000</c:v>
                </c:pt>
                <c:pt idx="11" formatCode="[$$-409]#,##0.00">
                  <c:v>131000</c:v>
                </c:pt>
              </c:numCache>
            </c:numRef>
          </c:val>
          <c:extLst>
            <c:ext xmlns:c16="http://schemas.microsoft.com/office/drawing/2014/chart" uri="{C3380CC4-5D6E-409C-BE32-E72D297353CC}">
              <c16:uniqueId val="{00000000-0420-4254-9D23-1BEA0B925AAD}"/>
            </c:ext>
          </c:extLst>
        </c:ser>
        <c:ser>
          <c:idx val="1"/>
          <c:order val="1"/>
          <c:tx>
            <c:strRef>
              <c:f>'Budget vs Actual'!$F$5</c:f>
              <c:strCache>
                <c:ptCount val="1"/>
                <c:pt idx="0">
                  <c:v>YTD Budget ($)</c:v>
                </c:pt>
              </c:strCache>
            </c:strRef>
          </c:tx>
          <c:spPr>
            <a:solidFill>
              <a:schemeClr val="accent2"/>
            </a:solidFill>
            <a:ln>
              <a:noFill/>
            </a:ln>
            <a:effectLst/>
          </c:spPr>
          <c:invertIfNegative val="0"/>
          <c:cat>
            <c:multiLvlStrRef>
              <c:extLst>
                <c:ext xmlns:c15="http://schemas.microsoft.com/office/drawing/2012/chart" uri="{02D57815-91ED-43cb-92C2-25804820EDAC}">
                  <c15:fullRef>
                    <c15:sqref>'Budget vs Actual'!$C$6:$D$26</c15:sqref>
                  </c15:fullRef>
                </c:ext>
              </c:extLst>
              <c:f>'Budget vs Actual'!$C$15:$D$26</c:f>
              <c:multiLvlStrCache>
                <c:ptCount val="12"/>
                <c:lvl>
                  <c:pt idx="0">
                    <c:v>Salaries</c:v>
                  </c:pt>
                  <c:pt idx="1">
                    <c:v>Bonuses</c:v>
                  </c:pt>
                  <c:pt idx="2">
                    <c:v>Rent</c:v>
                  </c:pt>
                  <c:pt idx="3">
                    <c:v>Utilities</c:v>
                  </c:pt>
                  <c:pt idx="4">
                    <c:v>Software Licenses</c:v>
                  </c:pt>
                  <c:pt idx="5">
                    <c:v>IT Support</c:v>
                  </c:pt>
                  <c:pt idx="6">
                    <c:v>Travel</c:v>
                  </c:pt>
                  <c:pt idx="7">
                    <c:v>Training</c:v>
                  </c:pt>
                  <c:pt idx="8">
                    <c:v>Depreciation</c:v>
                  </c:pt>
                  <c:pt idx="9">
                    <c:v>Bank Charges</c:v>
                  </c:pt>
                  <c:pt idx="10">
                    <c:v>Other Expenses</c:v>
                  </c:pt>
                  <c:pt idx="11">
                    <c:v>Total Expenses</c:v>
                  </c:pt>
                </c:lvl>
                <c:lvl>
                  <c:pt idx="0">
                    <c:v>Personnel</c:v>
                  </c:pt>
                  <c:pt idx="2">
                    <c:v>Office</c:v>
                  </c:pt>
                  <c:pt idx="4">
                    <c:v>Technology</c:v>
                  </c:pt>
                  <c:pt idx="6">
                    <c:v>Operations</c:v>
                  </c:pt>
                  <c:pt idx="8">
                    <c:v>Finance</c:v>
                  </c:pt>
                  <c:pt idx="10">
                    <c:v>Miscellaneous</c:v>
                  </c:pt>
                </c:lvl>
              </c:multiLvlStrCache>
            </c:multiLvlStrRef>
          </c:cat>
          <c:val>
            <c:numRef>
              <c:extLst>
                <c:ext xmlns:c15="http://schemas.microsoft.com/office/drawing/2012/chart" uri="{02D57815-91ED-43cb-92C2-25804820EDAC}">
                  <c15:fullRef>
                    <c15:sqref>'Budget vs Actual'!$F$6:$F$26</c15:sqref>
                  </c15:fullRef>
                </c:ext>
              </c:extLst>
              <c:f>'Budget vs Actual'!$F$15:$F$26</c:f>
              <c:numCache>
                <c:formatCode>General</c:formatCode>
                <c:ptCount val="12"/>
                <c:pt idx="0">
                  <c:v>65000</c:v>
                </c:pt>
                <c:pt idx="1">
                  <c:v>9000</c:v>
                </c:pt>
                <c:pt idx="2">
                  <c:v>15000</c:v>
                </c:pt>
                <c:pt idx="3">
                  <c:v>5000</c:v>
                </c:pt>
                <c:pt idx="4">
                  <c:v>8000</c:v>
                </c:pt>
                <c:pt idx="5">
                  <c:v>7000</c:v>
                </c:pt>
                <c:pt idx="6">
                  <c:v>6000</c:v>
                </c:pt>
                <c:pt idx="7">
                  <c:v>4000</c:v>
                </c:pt>
                <c:pt idx="8">
                  <c:v>7000</c:v>
                </c:pt>
                <c:pt idx="9">
                  <c:v>2500</c:v>
                </c:pt>
                <c:pt idx="10">
                  <c:v>1500</c:v>
                </c:pt>
                <c:pt idx="11" formatCode="[$$-409]#,##0.00">
                  <c:v>130000</c:v>
                </c:pt>
              </c:numCache>
            </c:numRef>
          </c:val>
          <c:extLst>
            <c:ext xmlns:c16="http://schemas.microsoft.com/office/drawing/2014/chart" uri="{C3380CC4-5D6E-409C-BE32-E72D297353CC}">
              <c16:uniqueId val="{00000001-0420-4254-9D23-1BEA0B925AAD}"/>
            </c:ext>
          </c:extLst>
        </c:ser>
        <c:dLbls>
          <c:showLegendKey val="0"/>
          <c:showVal val="0"/>
          <c:showCatName val="0"/>
          <c:showSerName val="0"/>
          <c:showPercent val="0"/>
          <c:showBubbleSize val="0"/>
        </c:dLbls>
        <c:gapWidth val="219"/>
        <c:overlap val="-27"/>
        <c:axId val="1121066719"/>
        <c:axId val="1121029279"/>
        <c:extLst>
          <c:ext xmlns:c15="http://schemas.microsoft.com/office/drawing/2012/chart" uri="{02D57815-91ED-43cb-92C2-25804820EDAC}">
            <c15:filteredBarSeries>
              <c15:ser>
                <c:idx val="2"/>
                <c:order val="2"/>
                <c:tx>
                  <c:strRef>
                    <c:extLst>
                      <c:ext uri="{02D57815-91ED-43cb-92C2-25804820EDAC}">
                        <c15:formulaRef>
                          <c15:sqref>'Budget vs Actual'!$G$5</c15:sqref>
                        </c15:formulaRef>
                      </c:ext>
                    </c:extLst>
                    <c:strCache>
                      <c:ptCount val="1"/>
                      <c:pt idx="0">
                        <c:v>Variance ($)</c:v>
                      </c:pt>
                    </c:strCache>
                  </c:strRef>
                </c:tx>
                <c:spPr>
                  <a:solidFill>
                    <a:schemeClr val="accent3"/>
                  </a:solidFill>
                  <a:ln>
                    <a:noFill/>
                  </a:ln>
                  <a:effectLst/>
                </c:spPr>
                <c:invertIfNegative val="0"/>
                <c:cat>
                  <c:multiLvlStrRef>
                    <c:extLst>
                      <c:ext uri="{02D57815-91ED-43cb-92C2-25804820EDAC}">
                        <c15:fullRef>
                          <c15:sqref>'Budget vs Actual'!$C$6:$D$26</c15:sqref>
                        </c15:fullRef>
                        <c15:formulaRef>
                          <c15:sqref>'Budget vs Actual'!$C$15:$D$26</c15:sqref>
                        </c15:formulaRef>
                      </c:ext>
                    </c:extLst>
                    <c:multiLvlStrCache>
                      <c:ptCount val="12"/>
                      <c:lvl>
                        <c:pt idx="0">
                          <c:v>Salaries</c:v>
                        </c:pt>
                        <c:pt idx="1">
                          <c:v>Bonuses</c:v>
                        </c:pt>
                        <c:pt idx="2">
                          <c:v>Rent</c:v>
                        </c:pt>
                        <c:pt idx="3">
                          <c:v>Utilities</c:v>
                        </c:pt>
                        <c:pt idx="4">
                          <c:v>Software Licenses</c:v>
                        </c:pt>
                        <c:pt idx="5">
                          <c:v>IT Support</c:v>
                        </c:pt>
                        <c:pt idx="6">
                          <c:v>Travel</c:v>
                        </c:pt>
                        <c:pt idx="7">
                          <c:v>Training</c:v>
                        </c:pt>
                        <c:pt idx="8">
                          <c:v>Depreciation</c:v>
                        </c:pt>
                        <c:pt idx="9">
                          <c:v>Bank Charges</c:v>
                        </c:pt>
                        <c:pt idx="10">
                          <c:v>Other Expenses</c:v>
                        </c:pt>
                        <c:pt idx="11">
                          <c:v>Total Expenses</c:v>
                        </c:pt>
                      </c:lvl>
                      <c:lvl>
                        <c:pt idx="0">
                          <c:v>Personnel</c:v>
                        </c:pt>
                        <c:pt idx="2">
                          <c:v>Office</c:v>
                        </c:pt>
                        <c:pt idx="4">
                          <c:v>Technology</c:v>
                        </c:pt>
                        <c:pt idx="6">
                          <c:v>Operations</c:v>
                        </c:pt>
                        <c:pt idx="8">
                          <c:v>Finance</c:v>
                        </c:pt>
                        <c:pt idx="10">
                          <c:v>Miscellaneous</c:v>
                        </c:pt>
                      </c:lvl>
                    </c:multiLvlStrCache>
                  </c:multiLvlStrRef>
                </c:cat>
                <c:val>
                  <c:numRef>
                    <c:extLst>
                      <c:ext uri="{02D57815-91ED-43cb-92C2-25804820EDAC}">
                        <c15:fullRef>
                          <c15:sqref>'Budget vs Actual'!$G$6:$G$26</c15:sqref>
                        </c15:fullRef>
                        <c15:formulaRef>
                          <c15:sqref>'Budget vs Actual'!$G$15:$G$26</c15:sqref>
                        </c15:formulaRef>
                      </c:ext>
                    </c:extLst>
                    <c:numCache>
                      <c:formatCode>[$$-409]#,##0.00</c:formatCode>
                      <c:ptCount val="12"/>
                      <c:pt idx="0">
                        <c:v>-5000</c:v>
                      </c:pt>
                      <c:pt idx="1">
                        <c:v>-1000</c:v>
                      </c:pt>
                      <c:pt idx="2">
                        <c:v>0</c:v>
                      </c:pt>
                      <c:pt idx="3">
                        <c:v>1000</c:v>
                      </c:pt>
                      <c:pt idx="4">
                        <c:v>2000</c:v>
                      </c:pt>
                      <c:pt idx="5">
                        <c:v>2000</c:v>
                      </c:pt>
                      <c:pt idx="6">
                        <c:v>-2000</c:v>
                      </c:pt>
                      <c:pt idx="7">
                        <c:v>1000</c:v>
                      </c:pt>
                      <c:pt idx="8">
                        <c:v>0</c:v>
                      </c:pt>
                      <c:pt idx="9">
                        <c:v>500</c:v>
                      </c:pt>
                      <c:pt idx="10">
                        <c:v>500</c:v>
                      </c:pt>
                      <c:pt idx="11">
                        <c:v>-1000</c:v>
                      </c:pt>
                    </c:numCache>
                  </c:numRef>
                </c:val>
                <c:extLst>
                  <c:ext xmlns:c16="http://schemas.microsoft.com/office/drawing/2014/chart" uri="{C3380CC4-5D6E-409C-BE32-E72D297353CC}">
                    <c16:uniqueId val="{00000002-0420-4254-9D23-1BEA0B925AA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'Budget vs Actual'!$H$5</c15:sqref>
                        </c15:formulaRef>
                      </c:ext>
                    </c:extLst>
                    <c:strCache>
                      <c:ptCount val="1"/>
                      <c:pt idx="0">
                        <c:v>Variance (%)</c:v>
                      </c:pt>
                    </c:strCache>
                  </c:strRef>
                </c:tx>
                <c:spPr>
                  <a:solidFill>
                    <a:schemeClr val="accent4"/>
                  </a:solidFill>
                  <a:ln>
                    <a:noFill/>
                  </a:ln>
                  <a:effectLst/>
                </c:spPr>
                <c:invertIfNegative val="0"/>
                <c:cat>
                  <c:multiLvlStrRef>
                    <c:extLst>
                      <c:ext xmlns:c15="http://schemas.microsoft.com/office/drawing/2012/chart" uri="{02D57815-91ED-43cb-92C2-25804820EDAC}">
                        <c15:fullRef>
                          <c15:sqref>'Budget vs Actual'!$C$6:$D$26</c15:sqref>
                        </c15:fullRef>
                        <c15:formulaRef>
                          <c15:sqref>'Budget vs Actual'!$C$15:$D$26</c15:sqref>
                        </c15:formulaRef>
                      </c:ext>
                    </c:extLst>
                    <c:multiLvlStrCache>
                      <c:ptCount val="12"/>
                      <c:lvl>
                        <c:pt idx="0">
                          <c:v>Salaries</c:v>
                        </c:pt>
                        <c:pt idx="1">
                          <c:v>Bonuses</c:v>
                        </c:pt>
                        <c:pt idx="2">
                          <c:v>Rent</c:v>
                        </c:pt>
                        <c:pt idx="3">
                          <c:v>Utilities</c:v>
                        </c:pt>
                        <c:pt idx="4">
                          <c:v>Software Licenses</c:v>
                        </c:pt>
                        <c:pt idx="5">
                          <c:v>IT Support</c:v>
                        </c:pt>
                        <c:pt idx="6">
                          <c:v>Travel</c:v>
                        </c:pt>
                        <c:pt idx="7">
                          <c:v>Training</c:v>
                        </c:pt>
                        <c:pt idx="8">
                          <c:v>Depreciation</c:v>
                        </c:pt>
                        <c:pt idx="9">
                          <c:v>Bank Charges</c:v>
                        </c:pt>
                        <c:pt idx="10">
                          <c:v>Other Expenses</c:v>
                        </c:pt>
                        <c:pt idx="11">
                          <c:v>Total Expenses</c:v>
                        </c:pt>
                      </c:lvl>
                      <c:lvl>
                        <c:pt idx="0">
                          <c:v>Personnel</c:v>
                        </c:pt>
                        <c:pt idx="2">
                          <c:v>Office</c:v>
                        </c:pt>
                        <c:pt idx="4">
                          <c:v>Technology</c:v>
                        </c:pt>
                        <c:pt idx="6">
                          <c:v>Operations</c:v>
                        </c:pt>
                        <c:pt idx="8">
                          <c:v>Finance</c:v>
                        </c:pt>
                        <c:pt idx="10">
                          <c:v>Miscellaneous</c:v>
                        </c:pt>
                      </c:lvl>
                    </c:multiLvlStrCache>
                  </c:multiLvlStrRef>
                </c:cat>
                <c:val>
                  <c:numRef>
                    <c:extLst>
                      <c:ext xmlns:c15="http://schemas.microsoft.com/office/drawing/2012/chart" uri="{02D57815-91ED-43cb-92C2-25804820EDAC}">
                        <c15:fullRef>
                          <c15:sqref>'Budget vs Actual'!$H$6:$H$26</c15:sqref>
                        </c15:fullRef>
                        <c15:formulaRef>
                          <c15:sqref>'Budget vs Actual'!$H$15:$H$26</c15:sqref>
                        </c15:formulaRef>
                      </c:ext>
                    </c:extLst>
                    <c:numCache>
                      <c:formatCode>0.00%</c:formatCode>
                      <c:ptCount val="12"/>
                      <c:pt idx="0">
                        <c:v>-7.1428571428571425E-2</c:v>
                      </c:pt>
                      <c:pt idx="1">
                        <c:v>-0.1</c:v>
                      </c:pt>
                      <c:pt idx="2">
                        <c:v>0</c:v>
                      </c:pt>
                      <c:pt idx="3">
                        <c:v>0.25</c:v>
                      </c:pt>
                      <c:pt idx="4">
                        <c:v>0.33333333333333331</c:v>
                      </c:pt>
                      <c:pt idx="5">
                        <c:v>0.4</c:v>
                      </c:pt>
                      <c:pt idx="6">
                        <c:v>-0.25</c:v>
                      </c:pt>
                      <c:pt idx="7">
                        <c:v>0.33333333333333331</c:v>
                      </c:pt>
                      <c:pt idx="8">
                        <c:v>0</c:v>
                      </c:pt>
                      <c:pt idx="9">
                        <c:v>0.25</c:v>
                      </c:pt>
                      <c:pt idx="10">
                        <c:v>0.5</c:v>
                      </c:pt>
                      <c:pt idx="11">
                        <c:v>1.6452380952380952</c:v>
                      </c:pt>
                    </c:numCache>
                  </c:numRef>
                </c:val>
                <c:extLst xmlns:c15="http://schemas.microsoft.com/office/drawing/2012/chart">
                  <c:ext xmlns:c16="http://schemas.microsoft.com/office/drawing/2014/chart" uri="{C3380CC4-5D6E-409C-BE32-E72D297353CC}">
                    <c16:uniqueId val="{00000003-0420-4254-9D23-1BEA0B925AAD}"/>
                  </c:ext>
                </c:extLst>
              </c15:ser>
            </c15:filteredBarSeries>
          </c:ext>
        </c:extLst>
      </c:barChart>
      <c:catAx>
        <c:axId val="112106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29279"/>
        <c:crosses val="autoZero"/>
        <c:auto val="1"/>
        <c:lblAlgn val="ctr"/>
        <c:lblOffset val="100"/>
        <c:noMultiLvlLbl val="0"/>
      </c:catAx>
      <c:valAx>
        <c:axId val="112102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667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469900</xdr:colOff>
      <xdr:row>2</xdr:row>
      <xdr:rowOff>19050</xdr:rowOff>
    </xdr:from>
    <xdr:to>
      <xdr:col>6</xdr:col>
      <xdr:colOff>469900</xdr:colOff>
      <xdr:row>16</xdr:row>
      <xdr:rowOff>60322</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AED85740-17D3-97F7-3E2C-BE2513C3B1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6350" y="387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0</xdr:row>
      <xdr:rowOff>57150</xdr:rowOff>
    </xdr:from>
    <xdr:to>
      <xdr:col>17</xdr:col>
      <xdr:colOff>577850</xdr:colOff>
      <xdr:row>32</xdr:row>
      <xdr:rowOff>57150</xdr:rowOff>
    </xdr:to>
    <xdr:graphicFrame macro="">
      <xdr:nvGraphicFramePr>
        <xdr:cNvPr id="2" name="Chart 1">
          <a:extLst>
            <a:ext uri="{FF2B5EF4-FFF2-40B4-BE49-F238E27FC236}">
              <a16:creationId xmlns:a16="http://schemas.microsoft.com/office/drawing/2014/main" id="{3B148851-9CBD-325A-BA52-A8B44DAD2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596900</xdr:colOff>
      <xdr:row>0</xdr:row>
      <xdr:rowOff>31750</xdr:rowOff>
    </xdr:from>
    <xdr:to>
      <xdr:col>17</xdr:col>
      <xdr:colOff>603250</xdr:colOff>
      <xdr:row>32</xdr:row>
      <xdr:rowOff>50800</xdr:rowOff>
    </xdr:to>
    <xdr:graphicFrame macro="">
      <xdr:nvGraphicFramePr>
        <xdr:cNvPr id="2" name="Chart 1">
          <a:extLst>
            <a:ext uri="{FF2B5EF4-FFF2-40B4-BE49-F238E27FC236}">
              <a16:creationId xmlns:a16="http://schemas.microsoft.com/office/drawing/2014/main" id="{3E358C15-AEAF-F1B4-B9B8-F7AD842F0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457200</xdr:colOff>
      <xdr:row>3</xdr:row>
      <xdr:rowOff>139700</xdr:rowOff>
    </xdr:from>
    <xdr:to>
      <xdr:col>11</xdr:col>
      <xdr:colOff>387350</xdr:colOff>
      <xdr:row>16</xdr:row>
      <xdr:rowOff>139700</xdr:rowOff>
    </xdr:to>
    <xdr:sp macro="" textlink="">
      <xdr:nvSpPr>
        <xdr:cNvPr id="2" name="TextBox 1">
          <a:extLst>
            <a:ext uri="{FF2B5EF4-FFF2-40B4-BE49-F238E27FC236}">
              <a16:creationId xmlns:a16="http://schemas.microsoft.com/office/drawing/2014/main" id="{7D6B05E8-409A-BF5B-B030-AFAEC60451F9}"/>
            </a:ext>
          </a:extLst>
        </xdr:cNvPr>
        <xdr:cNvSpPr txBox="1"/>
      </xdr:nvSpPr>
      <xdr:spPr>
        <a:xfrm>
          <a:off x="457200" y="692150"/>
          <a:ext cx="6635750" cy="239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sz="1100" baseline="0"/>
            <a:t>Income is favorable overall by $16,000 (+6.15%), primarily driven by Product Sales outperforming budget by $20,000 (+16.67%). Recommendation: Maintain current sales momentum and investigate expanding successful product lines.</a:t>
          </a:r>
        </a:p>
        <a:p>
          <a:pPr marL="171450" indent="-171450">
            <a:buFont typeface="Arial" panose="020B0604020202020204" pitchFamily="34" charset="0"/>
            <a:buChar char="•"/>
          </a:pPr>
          <a:r>
            <a:rPr lang="en-US" sz="1100" baseline="0"/>
            <a:t>Personnel costs are unfavorable by $6,000 (-7.14% on salaries, -10% on bonuses). This is the largest negative driver. Recommendation: Review overtime policies, bonus structure, and staffing levels to bring labor costs back in line.</a:t>
          </a:r>
        </a:p>
        <a:p>
          <a:pPr marL="171450" indent="-171450">
            <a:buFont typeface="Arial" panose="020B0604020202020204" pitchFamily="34" charset="0"/>
            <a:buChar char="•"/>
          </a:pPr>
          <a:r>
            <a:rPr lang="en-US" sz="1100" baseline="0"/>
            <a:t>Technology expenses are strongly favorable by $4,000 (+33% on licenses, +40% on IT support). Recommendation: Maintain current vendor contracts and cost controls for future periods.</a:t>
          </a:r>
        </a:p>
        <a:p>
          <a:pPr marL="171450" indent="-171450">
            <a:buFont typeface="Arial" panose="020B0604020202020204" pitchFamily="34" charset="0"/>
            <a:buChar char="•"/>
          </a:pPr>
          <a:r>
            <a:rPr lang="en-US" sz="1100" baseline="0"/>
            <a:t>Operations show an unfavorable variance of $1,000 (-12.5% on Travel). Recommendation: Shift more meetings to virtual format to reduce travel spend.</a:t>
          </a:r>
        </a:p>
        <a:p>
          <a:pPr marL="171450" indent="-171450">
            <a:buFont typeface="Arial" panose="020B0604020202020204" pitchFamily="34" charset="0"/>
            <a:buChar char="•"/>
          </a:pPr>
          <a:r>
            <a:rPr lang="en-US" sz="1100" baseline="0"/>
            <a:t>Overall result: Net favorable variance of $16,500. Budget accuracy is reasonable, but tighter control on personnel costs would improve future performance.</a:t>
          </a:r>
        </a:p>
        <a:p>
          <a:pPr marL="171450" indent="-171450">
            <a:buFont typeface="Arial" panose="020B0604020202020204" pitchFamily="34" charset="0"/>
            <a:buChar char="•"/>
          </a:pPr>
          <a:endParaRPr lang="en-US" sz="1100" baseline="0"/>
        </a:p>
        <a:p>
          <a:endParaRPr lang="en-US" sz="1100" baseline="0"/>
        </a:p>
        <a:p>
          <a:pPr marL="171450" indent="-171450">
            <a:buFont typeface="Arial" panose="020B0604020202020204" pitchFamily="34" charset="0"/>
            <a:buChar char="•"/>
          </a:pP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ew Blythe" refreshedDate="46080.74771747685" createdVersion="8" refreshedVersion="8" minRefreshableVersion="3" recordCount="21" xr:uid="{C7BFDA75-1B68-4BBE-AF70-194181E5CEF8}">
  <cacheSource type="worksheet">
    <worksheetSource ref="C5:H26" sheet="Budget vs Actual"/>
  </cacheSource>
  <cacheFields count="6">
    <cacheField name="Category" numFmtId="0">
      <sharedItems containsBlank="1" count="11">
        <s v="INCOME"/>
        <s v="Revenue"/>
        <m/>
        <s v="Other Income"/>
        <s v="EXPENSES"/>
        <s v="Personnel"/>
        <s v="Office"/>
        <s v="Technology"/>
        <s v="Operations"/>
        <s v="Finance"/>
        <s v="Miscellaneous"/>
      </sharedItems>
    </cacheField>
    <cacheField name="Subcategory" numFmtId="0">
      <sharedItems containsBlank="1"/>
    </cacheField>
    <cacheField name="YTD Actual ($)" numFmtId="0">
      <sharedItems containsString="0" containsBlank="1" containsNumber="1" containsInteger="1" minValue="1000" maxValue="260000"/>
    </cacheField>
    <cacheField name="YTD Budget ($)" numFmtId="0">
      <sharedItems containsString="0" containsBlank="1" containsNumber="1" containsInteger="1" minValue="1500" maxValue="244000"/>
    </cacheField>
    <cacheField name="Variance ($)" numFmtId="0">
      <sharedItems containsString="0" containsBlank="1" containsNumber="1" containsInteger="1" minValue="-5000" maxValue="20000"/>
    </cacheField>
    <cacheField name="Variance (%)" numFmtId="0">
      <sharedItems containsString="0" containsBlank="1" containsNumber="1" minValue="-0.5" maxValue="1.6452380952380952"/>
    </cacheField>
  </cacheFields>
  <extLst>
    <ext xmlns:x14="http://schemas.microsoft.com/office/spreadsheetml/2009/9/main" uri="{725AE2AE-9491-48be-B2B4-4EB974FC3084}">
      <x14:pivotCacheDefinition pivotCacheId="787979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m/>
    <m/>
    <m/>
    <m/>
    <m/>
  </r>
  <r>
    <x v="1"/>
    <s v="Product Sales"/>
    <n v="120000"/>
    <n v="100000"/>
    <n v="20000"/>
    <n v="0.16666666666666666"/>
  </r>
  <r>
    <x v="2"/>
    <s v="Service Revenue"/>
    <n v="80000"/>
    <n v="75000"/>
    <n v="5000"/>
    <n v="6.25E-2"/>
  </r>
  <r>
    <x v="2"/>
    <s v="Recurring Income"/>
    <n v="45000"/>
    <n v="50000"/>
    <n v="-5000"/>
    <n v="-0.1111111111111111"/>
  </r>
  <r>
    <x v="3"/>
    <s v="Interest Income"/>
    <n v="5000"/>
    <n v="4000"/>
    <n v="1000"/>
    <n v="0.2"/>
  </r>
  <r>
    <x v="2"/>
    <s v="Grants"/>
    <n v="10000"/>
    <n v="15000"/>
    <n v="-5000"/>
    <n v="-0.5"/>
  </r>
  <r>
    <x v="2"/>
    <s v="Total Income"/>
    <n v="260000"/>
    <n v="244000"/>
    <n v="16000"/>
    <n v="6.1538461538461542E-2"/>
  </r>
  <r>
    <x v="2"/>
    <m/>
    <m/>
    <m/>
    <m/>
    <m/>
  </r>
  <r>
    <x v="4"/>
    <m/>
    <m/>
    <m/>
    <m/>
    <m/>
  </r>
  <r>
    <x v="5"/>
    <s v="Salaries"/>
    <n v="70000"/>
    <n v="65000"/>
    <n v="-5000"/>
    <n v="-7.1428571428571425E-2"/>
  </r>
  <r>
    <x v="2"/>
    <s v="Bonuses"/>
    <n v="10000"/>
    <n v="9000"/>
    <n v="-1000"/>
    <n v="-0.1"/>
  </r>
  <r>
    <x v="6"/>
    <s v="Rent"/>
    <n v="15000"/>
    <n v="15000"/>
    <n v="0"/>
    <n v="0"/>
  </r>
  <r>
    <x v="2"/>
    <s v="Utilities"/>
    <n v="4000"/>
    <n v="5000"/>
    <n v="1000"/>
    <n v="0.25"/>
  </r>
  <r>
    <x v="7"/>
    <s v="Software Licenses"/>
    <n v="6000"/>
    <n v="8000"/>
    <n v="2000"/>
    <n v="0.33333333333333331"/>
  </r>
  <r>
    <x v="2"/>
    <s v="IT Support"/>
    <n v="5000"/>
    <n v="7000"/>
    <n v="2000"/>
    <n v="0.4"/>
  </r>
  <r>
    <x v="8"/>
    <s v="Travel"/>
    <n v="8000"/>
    <n v="6000"/>
    <n v="-2000"/>
    <n v="-0.25"/>
  </r>
  <r>
    <x v="2"/>
    <s v="Training"/>
    <n v="3000"/>
    <n v="4000"/>
    <n v="1000"/>
    <n v="0.33333333333333331"/>
  </r>
  <r>
    <x v="9"/>
    <s v="Depreciation"/>
    <n v="7000"/>
    <n v="7000"/>
    <n v="0"/>
    <n v="0"/>
  </r>
  <r>
    <x v="2"/>
    <s v="Bank Charges"/>
    <n v="2000"/>
    <n v="2500"/>
    <n v="500"/>
    <n v="0.25"/>
  </r>
  <r>
    <x v="10"/>
    <s v="Other Expenses"/>
    <n v="1000"/>
    <n v="1500"/>
    <n v="500"/>
    <n v="0.5"/>
  </r>
  <r>
    <x v="2"/>
    <s v="Total Expenses"/>
    <n v="131000"/>
    <n v="130000"/>
    <n v="-1000"/>
    <n v="1.64523809523809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838D9-5213-4DC3-9D5D-F1EED16FA47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1" firstHeaderRow="0" firstDataRow="1" firstDataCol="1"/>
  <pivotFields count="6">
    <pivotField axis="axisRow" showAll="0">
      <items count="12">
        <item h="1" x="4"/>
        <item x="9"/>
        <item h="1" x="0"/>
        <item x="10"/>
        <item x="6"/>
        <item x="8"/>
        <item x="3"/>
        <item x="5"/>
        <item x="1"/>
        <item x="7"/>
        <item h="1" x="2"/>
        <item t="default"/>
      </items>
    </pivotField>
    <pivotField showAll="0"/>
    <pivotField showAll="0"/>
    <pivotField showAll="0"/>
    <pivotField dataField="1" showAll="0"/>
    <pivotField dataField="1" showAll="0"/>
  </pivotFields>
  <rowFields count="1">
    <field x="0"/>
  </rowFields>
  <rowItems count="8">
    <i>
      <x v="1"/>
    </i>
    <i>
      <x v="3"/>
    </i>
    <i>
      <x v="4"/>
    </i>
    <i>
      <x v="5"/>
    </i>
    <i>
      <x v="6"/>
    </i>
    <i>
      <x v="7"/>
    </i>
    <i>
      <x v="8"/>
    </i>
    <i>
      <x v="9"/>
    </i>
  </rowItems>
  <colFields count="1">
    <field x="-2"/>
  </colFields>
  <colItems count="2">
    <i>
      <x/>
    </i>
    <i i="1">
      <x v="1"/>
    </i>
  </colItems>
  <dataFields count="2">
    <dataField name="Sum of Variance ($)" fld="4" baseField="0" baseItem="0"/>
    <dataField name="Sum of Variance (%)" fld="5" baseField="0" baseItem="0"/>
  </dataField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1C01DE-EA90-4B13-9ABE-66D617C28728}" sourceName="Category">
  <pivotTables>
    <pivotTable tabId="6" name="PivotTable2"/>
  </pivotTables>
  <data>
    <tabular pivotCacheId="787979707">
      <items count="11">
        <i x="9" s="1"/>
        <i x="10" s="1"/>
        <i x="6" s="1"/>
        <i x="8" s="1"/>
        <i x="3" s="1"/>
        <i x="5" s="1"/>
        <i x="1" s="1"/>
        <i x="7" s="1"/>
        <i x="2"/>
        <i x="4" nd="1"/>
        <i x="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BB78BF-86D9-40D1-B1E2-775AE58BCB6E}"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FC35-AFEA-49CF-B1A9-2EAECB2BF36D}">
  <dimension ref="A1:H27"/>
  <sheetViews>
    <sheetView tabSelected="1" zoomScaleNormal="100" workbookViewId="0">
      <pane xSplit="5" ySplit="18" topLeftCell="F19" activePane="bottomRight" state="frozen"/>
      <selection pane="topRight" activeCell="F1" sqref="F1"/>
      <selection pane="bottomLeft" activeCell="A19" sqref="A19"/>
      <selection pane="bottomRight" activeCell="B4" sqref="B4"/>
    </sheetView>
  </sheetViews>
  <sheetFormatPr defaultRowHeight="14.5" x14ac:dyDescent="0.35"/>
  <cols>
    <col min="1" max="1" width="8" customWidth="1"/>
    <col min="2" max="2" width="13.6328125" customWidth="1"/>
    <col min="3" max="4" width="18" customWidth="1"/>
    <col min="5" max="5" width="16" customWidth="1"/>
    <col min="6" max="6" width="18" customWidth="1"/>
    <col min="7" max="7" width="11.54296875" bestFit="1" customWidth="1"/>
    <col min="8" max="8" width="12.1796875" bestFit="1" customWidth="1"/>
    <col min="10" max="10" width="12.6328125" bestFit="1" customWidth="1"/>
    <col min="11" max="11" width="17.7265625" bestFit="1" customWidth="1"/>
    <col min="12" max="12" width="17.26953125" bestFit="1" customWidth="1"/>
  </cols>
  <sheetData>
    <row r="1" spans="1:8" ht="28.5" x14ac:dyDescent="0.65">
      <c r="A1" s="24" t="s">
        <v>38</v>
      </c>
      <c r="B1" s="23"/>
    </row>
    <row r="2" spans="1:8" x14ac:dyDescent="0.35">
      <c r="A2" t="s">
        <v>37</v>
      </c>
    </row>
    <row r="5" spans="1:8" x14ac:dyDescent="0.35">
      <c r="C5" s="1" t="s">
        <v>0</v>
      </c>
      <c r="D5" s="2" t="s">
        <v>1</v>
      </c>
      <c r="E5" s="2" t="s">
        <v>2</v>
      </c>
      <c r="F5" s="2" t="s">
        <v>3</v>
      </c>
      <c r="G5" s="2" t="s">
        <v>4</v>
      </c>
      <c r="H5" s="3" t="s">
        <v>5</v>
      </c>
    </row>
    <row r="6" spans="1:8" x14ac:dyDescent="0.35">
      <c r="C6" s="4" t="s">
        <v>9</v>
      </c>
      <c r="D6" s="5"/>
      <c r="E6" s="5"/>
      <c r="F6" s="5"/>
      <c r="H6" s="6"/>
    </row>
    <row r="7" spans="1:8" x14ac:dyDescent="0.35">
      <c r="C7" s="25" t="s">
        <v>11</v>
      </c>
      <c r="D7" s="5" t="s">
        <v>12</v>
      </c>
      <c r="E7" s="5">
        <v>120000</v>
      </c>
      <c r="F7" s="5">
        <v>100000</v>
      </c>
      <c r="G7" s="8">
        <f>E7-F7</f>
        <v>20000</v>
      </c>
      <c r="H7" s="9">
        <f t="shared" ref="H7:H12" si="0">IF(E7=0, "", (E7-F7)/E7)</f>
        <v>0.16666666666666666</v>
      </c>
    </row>
    <row r="8" spans="1:8" x14ac:dyDescent="0.35">
      <c r="C8" s="26"/>
      <c r="D8" s="5" t="s">
        <v>14</v>
      </c>
      <c r="E8" s="5">
        <v>80000</v>
      </c>
      <c r="F8" s="5">
        <v>75000</v>
      </c>
      <c r="G8" s="8">
        <f>E8-F8</f>
        <v>5000</v>
      </c>
      <c r="H8" s="9">
        <f t="shared" si="0"/>
        <v>6.25E-2</v>
      </c>
    </row>
    <row r="9" spans="1:8" x14ac:dyDescent="0.35">
      <c r="C9" s="27"/>
      <c r="D9" s="5" t="s">
        <v>16</v>
      </c>
      <c r="E9" s="5">
        <v>45000</v>
      </c>
      <c r="F9" s="5">
        <v>50000</v>
      </c>
      <c r="G9" s="8">
        <f>E9-F9</f>
        <v>-5000</v>
      </c>
      <c r="H9" s="9">
        <f t="shared" si="0"/>
        <v>-0.1111111111111111</v>
      </c>
    </row>
    <row r="10" spans="1:8" x14ac:dyDescent="0.35">
      <c r="C10" s="25" t="s">
        <v>18</v>
      </c>
      <c r="D10" s="5" t="s">
        <v>19</v>
      </c>
      <c r="E10" s="5">
        <v>5000</v>
      </c>
      <c r="F10" s="5">
        <v>4000</v>
      </c>
      <c r="G10" s="8">
        <f>E10-F10</f>
        <v>1000</v>
      </c>
      <c r="H10" s="9">
        <f t="shared" si="0"/>
        <v>0.2</v>
      </c>
    </row>
    <row r="11" spans="1:8" x14ac:dyDescent="0.35">
      <c r="C11" s="27"/>
      <c r="D11" s="5" t="s">
        <v>20</v>
      </c>
      <c r="E11" s="5">
        <v>10000</v>
      </c>
      <c r="F11" s="5">
        <v>15000</v>
      </c>
      <c r="G11" s="8">
        <f>E11-F11</f>
        <v>-5000</v>
      </c>
      <c r="H11" s="9">
        <f t="shared" si="0"/>
        <v>-0.5</v>
      </c>
    </row>
    <row r="12" spans="1:8" ht="15.5" x14ac:dyDescent="0.35">
      <c r="C12" s="10"/>
      <c r="D12" s="11" t="s">
        <v>22</v>
      </c>
      <c r="E12" s="12">
        <f>SUM(E7:E11)</f>
        <v>260000</v>
      </c>
      <c r="F12" s="12">
        <f>SUM(F7:F11)</f>
        <v>244000</v>
      </c>
      <c r="G12" s="13">
        <f>SUM(G7:G11)</f>
        <v>16000</v>
      </c>
      <c r="H12" s="14">
        <f t="shared" si="0"/>
        <v>6.1538461538461542E-2</v>
      </c>
    </row>
    <row r="13" spans="1:8" x14ac:dyDescent="0.35">
      <c r="C13" s="10"/>
      <c r="D13" s="5"/>
      <c r="E13" s="5"/>
      <c r="F13" s="5"/>
      <c r="G13" s="15"/>
      <c r="H13" s="16"/>
    </row>
    <row r="14" spans="1:8" x14ac:dyDescent="0.35">
      <c r="C14" s="17" t="s">
        <v>24</v>
      </c>
      <c r="D14" s="5"/>
      <c r="E14" s="5"/>
      <c r="F14" s="5"/>
      <c r="G14" s="15"/>
      <c r="H14" s="16"/>
    </row>
    <row r="15" spans="1:8" x14ac:dyDescent="0.35">
      <c r="C15" s="25" t="s">
        <v>21</v>
      </c>
      <c r="D15" s="5" t="s">
        <v>25</v>
      </c>
      <c r="E15" s="5">
        <v>70000</v>
      </c>
      <c r="F15" s="5">
        <v>65000</v>
      </c>
      <c r="G15" s="8">
        <f t="shared" ref="G15:G25" si="1">F15-E15</f>
        <v>-5000</v>
      </c>
      <c r="H15" s="9">
        <f t="shared" ref="H15:H25" si="2">IF(E15=0, "", (F15-E15)/E15)</f>
        <v>-7.1428571428571425E-2</v>
      </c>
    </row>
    <row r="16" spans="1:8" x14ac:dyDescent="0.35">
      <c r="C16" s="27"/>
      <c r="D16" s="5" t="s">
        <v>26</v>
      </c>
      <c r="E16" s="5">
        <v>10000</v>
      </c>
      <c r="F16" s="5">
        <v>9000</v>
      </c>
      <c r="G16" s="8">
        <f t="shared" si="1"/>
        <v>-1000</v>
      </c>
      <c r="H16" s="9">
        <f t="shared" si="2"/>
        <v>-0.1</v>
      </c>
    </row>
    <row r="17" spans="3:8" x14ac:dyDescent="0.35">
      <c r="C17" s="25" t="s">
        <v>15</v>
      </c>
      <c r="D17" s="5" t="s">
        <v>27</v>
      </c>
      <c r="E17" s="5">
        <v>15000</v>
      </c>
      <c r="F17" s="5">
        <v>15000</v>
      </c>
      <c r="G17" s="8">
        <f t="shared" si="1"/>
        <v>0</v>
      </c>
      <c r="H17" s="9">
        <f t="shared" si="2"/>
        <v>0</v>
      </c>
    </row>
    <row r="18" spans="3:8" x14ac:dyDescent="0.35">
      <c r="C18" s="27"/>
      <c r="D18" s="5" t="s">
        <v>28</v>
      </c>
      <c r="E18" s="5">
        <v>4000</v>
      </c>
      <c r="F18" s="5">
        <v>5000</v>
      </c>
      <c r="G18" s="8">
        <f t="shared" si="1"/>
        <v>1000</v>
      </c>
      <c r="H18" s="9">
        <f t="shared" si="2"/>
        <v>0.25</v>
      </c>
    </row>
    <row r="19" spans="3:8" x14ac:dyDescent="0.35">
      <c r="C19" s="25" t="s">
        <v>23</v>
      </c>
      <c r="D19" s="5" t="s">
        <v>29</v>
      </c>
      <c r="E19" s="5">
        <v>6000</v>
      </c>
      <c r="F19" s="5">
        <v>8000</v>
      </c>
      <c r="G19" s="8">
        <f t="shared" si="1"/>
        <v>2000</v>
      </c>
      <c r="H19" s="9">
        <f t="shared" si="2"/>
        <v>0.33333333333333331</v>
      </c>
    </row>
    <row r="20" spans="3:8" x14ac:dyDescent="0.35">
      <c r="C20" s="27"/>
      <c r="D20" s="5" t="s">
        <v>30</v>
      </c>
      <c r="E20" s="5">
        <v>5000</v>
      </c>
      <c r="F20" s="5">
        <v>7000</v>
      </c>
      <c r="G20" s="8">
        <f t="shared" si="1"/>
        <v>2000</v>
      </c>
      <c r="H20" s="9">
        <f t="shared" si="2"/>
        <v>0.4</v>
      </c>
    </row>
    <row r="21" spans="3:8" x14ac:dyDescent="0.35">
      <c r="C21" s="25" t="s">
        <v>17</v>
      </c>
      <c r="D21" s="5" t="s">
        <v>31</v>
      </c>
      <c r="E21" s="5">
        <v>8000</v>
      </c>
      <c r="F21" s="5">
        <v>6000</v>
      </c>
      <c r="G21" s="8">
        <f t="shared" si="1"/>
        <v>-2000</v>
      </c>
      <c r="H21" s="9">
        <f t="shared" si="2"/>
        <v>-0.25</v>
      </c>
    </row>
    <row r="22" spans="3:8" x14ac:dyDescent="0.35">
      <c r="C22" s="27"/>
      <c r="D22" s="5" t="s">
        <v>32</v>
      </c>
      <c r="E22" s="5">
        <v>3000</v>
      </c>
      <c r="F22" s="5">
        <v>4000</v>
      </c>
      <c r="G22" s="8">
        <f t="shared" si="1"/>
        <v>1000</v>
      </c>
      <c r="H22" s="9">
        <f t="shared" si="2"/>
        <v>0.33333333333333331</v>
      </c>
    </row>
    <row r="23" spans="3:8" x14ac:dyDescent="0.35">
      <c r="C23" s="25" t="s">
        <v>10</v>
      </c>
      <c r="D23" s="5" t="s">
        <v>33</v>
      </c>
      <c r="E23" s="5">
        <v>7000</v>
      </c>
      <c r="F23" s="5">
        <v>7000</v>
      </c>
      <c r="G23" s="8">
        <f t="shared" si="1"/>
        <v>0</v>
      </c>
      <c r="H23" s="9">
        <f t="shared" si="2"/>
        <v>0</v>
      </c>
    </row>
    <row r="24" spans="3:8" x14ac:dyDescent="0.35">
      <c r="C24" s="26"/>
      <c r="D24" s="5" t="s">
        <v>34</v>
      </c>
      <c r="E24" s="5">
        <v>2000</v>
      </c>
      <c r="F24" s="5">
        <v>2500</v>
      </c>
      <c r="G24" s="8">
        <f t="shared" si="1"/>
        <v>500</v>
      </c>
      <c r="H24" s="9">
        <f t="shared" si="2"/>
        <v>0.25</v>
      </c>
    </row>
    <row r="25" spans="3:8" x14ac:dyDescent="0.35">
      <c r="C25" s="5" t="s">
        <v>13</v>
      </c>
      <c r="D25" s="18" t="s">
        <v>35</v>
      </c>
      <c r="E25" s="5">
        <v>1000</v>
      </c>
      <c r="F25" s="5">
        <v>1500</v>
      </c>
      <c r="G25" s="8">
        <f t="shared" si="1"/>
        <v>500</v>
      </c>
      <c r="H25" s="9">
        <f t="shared" si="2"/>
        <v>0.5</v>
      </c>
    </row>
    <row r="26" spans="3:8" ht="15.5" x14ac:dyDescent="0.35">
      <c r="C26" s="10"/>
      <c r="D26" s="18" t="s">
        <v>36</v>
      </c>
      <c r="E26" s="19">
        <f>SUM(E15:E25)</f>
        <v>131000</v>
      </c>
      <c r="F26" s="19">
        <f>SUM(F15:F25)</f>
        <v>130000</v>
      </c>
      <c r="G26" s="19">
        <f>SUM(G15:G25)</f>
        <v>-1000</v>
      </c>
      <c r="H26" s="20">
        <f>SUM(H15:H25)</f>
        <v>1.6452380952380952</v>
      </c>
    </row>
    <row r="27" spans="3:8" x14ac:dyDescent="0.35">
      <c r="C27" s="21"/>
      <c r="D27" s="21"/>
      <c r="E27" s="21"/>
      <c r="F27" s="21"/>
      <c r="G27" s="21"/>
      <c r="H27" s="21"/>
    </row>
  </sheetData>
  <mergeCells count="7">
    <mergeCell ref="C23:C24"/>
    <mergeCell ref="C7:C9"/>
    <mergeCell ref="C10:C11"/>
    <mergeCell ref="C15:C16"/>
    <mergeCell ref="C17:C18"/>
    <mergeCell ref="C19:C20"/>
    <mergeCell ref="C21:C22"/>
  </mergeCells>
  <conditionalFormatting sqref="G7:G26">
    <cfRule type="cellIs" dxfId="1" priority="1" operator="lessThan">
      <formula>0</formula>
    </cfRule>
    <cfRule type="cellIs" dxfId="0" priority="2"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7F694-B778-4A79-B847-2972A1A338D7}">
  <dimension ref="A3:C11"/>
  <sheetViews>
    <sheetView workbookViewId="0">
      <selection activeCell="A17" sqref="A17"/>
    </sheetView>
  </sheetViews>
  <sheetFormatPr defaultRowHeight="14.5" x14ac:dyDescent="0.35"/>
  <cols>
    <col min="1" max="1" width="13" bestFit="1" customWidth="1"/>
    <col min="2" max="2" width="17.1796875" bestFit="1" customWidth="1"/>
    <col min="3" max="3" width="17.7265625" bestFit="1" customWidth="1"/>
  </cols>
  <sheetData>
    <row r="3" spans="1:3" x14ac:dyDescent="0.35">
      <c r="A3" s="22" t="s">
        <v>6</v>
      </c>
      <c r="B3" t="s">
        <v>8</v>
      </c>
      <c r="C3" t="s">
        <v>7</v>
      </c>
    </row>
    <row r="4" spans="1:3" x14ac:dyDescent="0.35">
      <c r="A4" s="7" t="s">
        <v>10</v>
      </c>
      <c r="B4">
        <v>0</v>
      </c>
      <c r="C4">
        <v>0</v>
      </c>
    </row>
    <row r="5" spans="1:3" x14ac:dyDescent="0.35">
      <c r="A5" s="7" t="s">
        <v>13</v>
      </c>
      <c r="B5">
        <v>500</v>
      </c>
      <c r="C5">
        <v>0.5</v>
      </c>
    </row>
    <row r="6" spans="1:3" x14ac:dyDescent="0.35">
      <c r="A6" s="7" t="s">
        <v>15</v>
      </c>
      <c r="B6">
        <v>0</v>
      </c>
      <c r="C6">
        <v>0</v>
      </c>
    </row>
    <row r="7" spans="1:3" x14ac:dyDescent="0.35">
      <c r="A7" s="7" t="s">
        <v>17</v>
      </c>
      <c r="B7">
        <v>-2000</v>
      </c>
      <c r="C7">
        <v>-0.25</v>
      </c>
    </row>
    <row r="8" spans="1:3" x14ac:dyDescent="0.35">
      <c r="A8" s="7" t="s">
        <v>18</v>
      </c>
      <c r="B8">
        <v>1000</v>
      </c>
      <c r="C8">
        <v>0.2</v>
      </c>
    </row>
    <row r="9" spans="1:3" x14ac:dyDescent="0.35">
      <c r="A9" s="7" t="s">
        <v>21</v>
      </c>
      <c r="B9">
        <v>-5000</v>
      </c>
      <c r="C9">
        <v>-7.1428571428571425E-2</v>
      </c>
    </row>
    <row r="10" spans="1:3" x14ac:dyDescent="0.35">
      <c r="A10" s="7" t="s">
        <v>11</v>
      </c>
      <c r="B10">
        <v>20000</v>
      </c>
      <c r="C10">
        <v>0.16666666666666666</v>
      </c>
    </row>
    <row r="11" spans="1:3" x14ac:dyDescent="0.35">
      <c r="A11" s="7" t="s">
        <v>23</v>
      </c>
      <c r="B11">
        <v>2000</v>
      </c>
      <c r="C11">
        <v>0.33333333333333331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F6C2-F697-4DED-9D44-F488AD2B807A}">
  <dimension ref="A1"/>
  <sheetViews>
    <sheetView topLeftCell="B1" zoomScaleNormal="100" workbookViewId="0">
      <selection activeCell="K35" sqref="K35"/>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4ED4C-6FC0-4E2A-98A2-05042591AEBC}">
  <dimension ref="A1"/>
  <sheetViews>
    <sheetView workbookViewId="0">
      <selection activeCell="J35" sqref="J35"/>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5DA2-FB4C-451E-925A-377E4B26720E}">
  <dimension ref="A1"/>
  <sheetViews>
    <sheetView workbookViewId="0">
      <selection activeCell="C20" sqref="C2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Budget vs Actual</vt:lpstr>
      <vt:lpstr>Pivot Table</vt:lpstr>
      <vt:lpstr>Income Chart</vt:lpstr>
      <vt:lpstr>Expense Chart</vt:lpstr>
      <vt:lpstr>Insights and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Blythe (Student)</dc:creator>
  <cp:lastModifiedBy>Drew Blythe (Student)</cp:lastModifiedBy>
  <dcterms:created xsi:type="dcterms:W3CDTF">2026-02-28T00:38:27Z</dcterms:created>
  <dcterms:modified xsi:type="dcterms:W3CDTF">2026-02-28T01:52:29Z</dcterms:modified>
</cp:coreProperties>
</file>